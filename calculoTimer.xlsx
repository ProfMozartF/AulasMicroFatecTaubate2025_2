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KUP_LOCAL\AULAS FATEC\MICROCONTORLADORES\2025_1\"/>
    </mc:Choice>
  </mc:AlternateContent>
  <xr:revisionPtr revIDLastSave="0" documentId="13_ncr:1_{F7EBFE0B-9DA8-457B-AE4A-29E4D8149DEE}" xr6:coauthVersionLast="47" xr6:coauthVersionMax="47" xr10:uidLastSave="{00000000-0000-0000-0000-000000000000}"/>
  <bookViews>
    <workbookView xWindow="-108" yWindow="-108" windowWidth="23256" windowHeight="12456" activeTab="1" xr2:uid="{0F553953-7539-41EE-9D73-D6F519E96D34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2" i="2"/>
  <c r="D8" i="1"/>
  <c r="D9" i="1" s="1"/>
  <c r="C3" i="1"/>
</calcChain>
</file>

<file path=xl/sharedStrings.xml><?xml version="1.0" encoding="utf-8"?>
<sst xmlns="http://schemas.openxmlformats.org/spreadsheetml/2006/main" count="12" uniqueCount="12">
  <si>
    <t>Calculo Timer 1</t>
  </si>
  <si>
    <t>Prescaler</t>
  </si>
  <si>
    <t>Contador</t>
  </si>
  <si>
    <t>Fosc(MHz)</t>
  </si>
  <si>
    <t>Fosc(Hz)</t>
  </si>
  <si>
    <t>Preíodo da interrupção por estouro</t>
  </si>
  <si>
    <t>Frequncia da interrupçao por estouro</t>
  </si>
  <si>
    <t>Vin</t>
  </si>
  <si>
    <t>Vout</t>
  </si>
  <si>
    <t>R1</t>
  </si>
  <si>
    <t>R2</t>
  </si>
  <si>
    <t>Ganho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</si>
</sst>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1" fontId="0" fillId="0" borderId="1" xfId="0" applyNumberFormat="1" applyBorder="1"/>
    <xf numFmtId="2" fontId="0" fillId="0" borderId="1" xfId="0" applyNumberForma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2CC5-A964-4EB5-A8D8-F3E958E3BF7D}">
  <dimension ref="A1:D9"/>
  <sheetViews>
    <sheetView workbookViewId="0">
      <selection activeCell="D16" sqref="D16"/>
    </sheetView>
  </sheetViews>
  <sheetFormatPr defaultRowHeight="14.4" x14ac:dyDescent="0.3"/>
  <cols>
    <col min="1" max="1" width="13.44140625" bestFit="1" customWidth="1"/>
    <col min="2" max="2" width="12.44140625" customWidth="1"/>
    <col min="3" max="3" width="18.44140625" customWidth="1"/>
    <col min="4" max="4" width="14" customWidth="1"/>
  </cols>
  <sheetData>
    <row r="1" spans="1:4" x14ac:dyDescent="0.3">
      <c r="A1" t="s">
        <v>0</v>
      </c>
    </row>
    <row r="2" spans="1:4" ht="15" thickBot="1" x14ac:dyDescent="0.35">
      <c r="C2" t="s">
        <v>4</v>
      </c>
    </row>
    <row r="3" spans="1:4" ht="15" thickBot="1" x14ac:dyDescent="0.35">
      <c r="A3" s="1" t="s">
        <v>3</v>
      </c>
      <c r="B3" s="4">
        <v>72</v>
      </c>
      <c r="C3" s="7">
        <f>B3*1000000</f>
        <v>72000000</v>
      </c>
    </row>
    <row r="4" spans="1:4" x14ac:dyDescent="0.3">
      <c r="A4" s="2" t="s">
        <v>1</v>
      </c>
      <c r="B4" s="5">
        <v>6</v>
      </c>
    </row>
    <row r="5" spans="1:4" x14ac:dyDescent="0.3">
      <c r="A5" s="2" t="s">
        <v>2</v>
      </c>
      <c r="B5" s="5">
        <v>1025</v>
      </c>
    </row>
    <row r="6" spans="1:4" ht="15" thickBot="1" x14ac:dyDescent="0.35">
      <c r="A6" s="3"/>
      <c r="B6" s="6"/>
    </row>
    <row r="7" spans="1:4" ht="15" thickBot="1" x14ac:dyDescent="0.35"/>
    <row r="8" spans="1:4" ht="15" thickBot="1" x14ac:dyDescent="0.35">
      <c r="B8" s="9" t="s">
        <v>5</v>
      </c>
      <c r="C8" s="10"/>
      <c r="D8" s="8">
        <f>1/(C3/(B4+1))*(B5+1)</f>
        <v>9.9749999999999999E-5</v>
      </c>
    </row>
    <row r="9" spans="1:4" ht="15" thickBot="1" x14ac:dyDescent="0.35">
      <c r="B9" s="9" t="s">
        <v>6</v>
      </c>
      <c r="C9" s="10"/>
      <c r="D9" s="8">
        <f>1/D8</f>
        <v>10025.062656641605</v>
      </c>
    </row>
  </sheetData>
  <mergeCells count="2">
    <mergeCell ref="B8:C8"/>
    <mergeCell ref="B9:C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D736-36BB-4A2B-A948-FA9F3B12085B}">
  <dimension ref="A1:B5"/>
  <sheetViews>
    <sheetView tabSelected="1" workbookViewId="0">
      <selection activeCell="C9" sqref="C9"/>
    </sheetView>
  </sheetViews>
  <sheetFormatPr defaultRowHeight="14.4" x14ac:dyDescent="0.3"/>
  <cols>
    <col min="2" max="2" width="9.6640625" bestFit="1" customWidth="1"/>
  </cols>
  <sheetData>
    <row r="1" spans="1:2" x14ac:dyDescent="0.3">
      <c r="A1" t="s">
        <v>7</v>
      </c>
      <c r="B1">
        <v>5</v>
      </c>
    </row>
    <row r="2" spans="1:2" x14ac:dyDescent="0.3">
      <c r="A2" t="s">
        <v>8</v>
      </c>
      <c r="B2">
        <f>(1+(B4/B3))*B1</f>
        <v>5.0005999999999995</v>
      </c>
    </row>
    <row r="3" spans="1:2" x14ac:dyDescent="0.3">
      <c r="A3" t="s">
        <v>9</v>
      </c>
      <c r="B3">
        <v>1000000</v>
      </c>
    </row>
    <row r="4" spans="1:2" x14ac:dyDescent="0.3">
      <c r="A4" t="s">
        <v>10</v>
      </c>
      <c r="B4">
        <v>120</v>
      </c>
    </row>
    <row r="5" spans="1:2" x14ac:dyDescent="0.3">
      <c r="A5" t="s">
        <v>11</v>
      </c>
      <c r="B5">
        <f>1+(B4/B3)</f>
        <v>1.0001199999999999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Mozart Fraga Martins</dc:creator>
  <cp:lastModifiedBy>Mozart Fraga Martins</cp:lastModifiedBy>
  <dcterms:created xsi:type="dcterms:W3CDTF">2025-05-28T19:40:36Z</dcterms:created>
  <dcterms:modified xsi:type="dcterms:W3CDTF">2025-06-11T00:57:42Z</dcterms:modified>
</cp:coreProperties>
</file>