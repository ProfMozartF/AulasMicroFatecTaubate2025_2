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_AULAS_FATEC\Exemplos_Codigo_STM32\"/>
    </mc:Choice>
  </mc:AlternateContent>
  <xr:revisionPtr revIDLastSave="0" documentId="13_ncr:1_{2384EBDF-9A70-46B6-B978-16D3F72476D6}" xr6:coauthVersionLast="47" xr6:coauthVersionMax="47" xr10:uidLastSave="{00000000-0000-0000-0000-000000000000}"/>
  <bookViews>
    <workbookView xWindow="-108" yWindow="-108" windowWidth="23256" windowHeight="12456" xr2:uid="{0F553953-7539-41EE-9D73-D6F519E96D34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2" i="2"/>
  <c r="C3" i="1"/>
  <c r="B6" i="1" s="1"/>
  <c r="F4" i="1" s="1"/>
  <c r="B7" i="1" l="1"/>
  <c r="B8" i="1" s="1"/>
</calcChain>
</file>

<file path=xl/sharedStrings.xml><?xml version="1.0" encoding="utf-8"?>
<sst xmlns="http://schemas.openxmlformats.org/spreadsheetml/2006/main" count="15" uniqueCount="15">
  <si>
    <t>Calculo Timer 1</t>
  </si>
  <si>
    <t>Prescaler</t>
  </si>
  <si>
    <t>Fosc(MHz)</t>
  </si>
  <si>
    <t>Fosc(Hz)</t>
  </si>
  <si>
    <t>Vin</t>
  </si>
  <si>
    <t>Vout</t>
  </si>
  <si>
    <t>R1</t>
  </si>
  <si>
    <t>R2</t>
  </si>
  <si>
    <t>Ganho</t>
  </si>
  <si>
    <t>ARR</t>
  </si>
  <si>
    <t>Periodo por count</t>
  </si>
  <si>
    <t>Periodo Estouro</t>
  </si>
  <si>
    <t>Frequencia</t>
  </si>
  <si>
    <t>Tempo que eu quero</t>
  </si>
  <si>
    <t>Numero de 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</si>
</sst>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horizontal="left"/>
    </xf>
    <xf numFmtId="2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0" xfId="0" applyBorder="1" applyAlignment="1">
      <alignment horizontal="left"/>
    </xf>
    <xf numFmtId="0" fontId="0" fillId="0" borderId="2" xfId="0" applyFill="1" applyBorder="1"/>
    <xf numFmtId="0" fontId="0" fillId="0" borderId="3" xfId="0" applyFill="1" applyBorder="1"/>
    <xf numFmtId="0" fontId="0" fillId="0" borderId="5" xfId="0" applyBorder="1" applyAlignment="1">
      <alignment horizontal="left"/>
    </xf>
    <xf numFmtId="1" fontId="0" fillId="0" borderId="1" xfId="0" applyNumberFormat="1" applyBorder="1"/>
    <xf numFmtId="0" fontId="0" fillId="0" borderId="8" xfId="0" applyBorder="1"/>
    <xf numFmtId="0" fontId="0" fillId="0" borderId="9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2CC5-A964-4EB5-A8D8-F3E958E3BF7D}">
  <dimension ref="A1:F13"/>
  <sheetViews>
    <sheetView tabSelected="1" zoomScale="170" zoomScaleNormal="170" workbookViewId="0">
      <selection activeCell="D9" sqref="D9"/>
    </sheetView>
  </sheetViews>
  <sheetFormatPr defaultRowHeight="14.4" x14ac:dyDescent="0.3"/>
  <cols>
    <col min="1" max="1" width="15.33203125" bestFit="1" customWidth="1"/>
    <col min="2" max="2" width="12.44140625" customWidth="1"/>
    <col min="3" max="3" width="18.44140625" customWidth="1"/>
    <col min="4" max="4" width="14" customWidth="1"/>
    <col min="5" max="5" width="19.33203125" customWidth="1"/>
  </cols>
  <sheetData>
    <row r="1" spans="1:6" x14ac:dyDescent="0.3">
      <c r="A1" t="s">
        <v>0</v>
      </c>
    </row>
    <row r="2" spans="1:6" ht="15" thickBot="1" x14ac:dyDescent="0.35">
      <c r="C2" t="s">
        <v>3</v>
      </c>
    </row>
    <row r="3" spans="1:6" ht="15" thickBot="1" x14ac:dyDescent="0.35">
      <c r="A3" s="6" t="s">
        <v>2</v>
      </c>
      <c r="B3" s="7">
        <v>72</v>
      </c>
      <c r="C3" s="12">
        <f>B3*1000000</f>
        <v>72000000</v>
      </c>
      <c r="E3" s="15" t="s">
        <v>13</v>
      </c>
      <c r="F3" s="15">
        <v>1.4999999999999999E-2</v>
      </c>
    </row>
    <row r="4" spans="1:6" ht="15" thickBot="1" x14ac:dyDescent="0.35">
      <c r="A4" s="1" t="s">
        <v>1</v>
      </c>
      <c r="B4" s="2">
        <v>1</v>
      </c>
      <c r="C4" s="3"/>
      <c r="E4" s="14" t="s">
        <v>14</v>
      </c>
      <c r="F4" s="13">
        <f>F3/B6</f>
        <v>1080000</v>
      </c>
    </row>
    <row r="5" spans="1:6" x14ac:dyDescent="0.3">
      <c r="A5" s="1" t="s">
        <v>9</v>
      </c>
      <c r="B5" s="2">
        <v>65535</v>
      </c>
      <c r="C5" s="3"/>
    </row>
    <row r="6" spans="1:6" x14ac:dyDescent="0.3">
      <c r="A6" s="1" t="s">
        <v>10</v>
      </c>
      <c r="B6" s="2">
        <f>1/(C3/B4)</f>
        <v>1.3888888888888889E-8</v>
      </c>
      <c r="C6" s="3"/>
    </row>
    <row r="7" spans="1:6" x14ac:dyDescent="0.3">
      <c r="A7" s="9" t="s">
        <v>11</v>
      </c>
      <c r="B7" s="2">
        <f>B6*B5</f>
        <v>9.1020833333333329E-4</v>
      </c>
      <c r="C7" s="3"/>
      <c r="D7" s="3"/>
      <c r="E7" s="3"/>
      <c r="F7" s="3"/>
    </row>
    <row r="8" spans="1:6" ht="15" thickBot="1" x14ac:dyDescent="0.35">
      <c r="A8" s="10" t="s">
        <v>12</v>
      </c>
      <c r="B8" s="11">
        <f>1/B7</f>
        <v>1098.6495765621423</v>
      </c>
      <c r="C8" s="8"/>
      <c r="D8" s="5"/>
      <c r="E8" s="3"/>
      <c r="F8" s="3"/>
    </row>
    <row r="9" spans="1:6" x14ac:dyDescent="0.3">
      <c r="A9" s="3"/>
      <c r="B9" s="4"/>
      <c r="C9" s="4"/>
      <c r="D9" s="5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</sheetData>
  <mergeCells count="1">
    <mergeCell ref="B9:C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D736-36BB-4A2B-A948-FA9F3B12085B}">
  <dimension ref="A1:B5"/>
  <sheetViews>
    <sheetView workbookViewId="0">
      <selection activeCell="C9" sqref="C9"/>
    </sheetView>
  </sheetViews>
  <sheetFormatPr defaultRowHeight="14.4" x14ac:dyDescent="0.3"/>
  <cols>
    <col min="2" max="2" width="9.6640625" bestFit="1" customWidth="1"/>
  </cols>
  <sheetData>
    <row r="1" spans="1:2" x14ac:dyDescent="0.3">
      <c r="A1" t="s">
        <v>4</v>
      </c>
      <c r="B1">
        <v>5</v>
      </c>
    </row>
    <row r="2" spans="1:2" x14ac:dyDescent="0.3">
      <c r="A2" t="s">
        <v>5</v>
      </c>
      <c r="B2">
        <f>(1+(B4/B3))*B1</f>
        <v>5.0005999999999995</v>
      </c>
    </row>
    <row r="3" spans="1:2" x14ac:dyDescent="0.3">
      <c r="A3" t="s">
        <v>6</v>
      </c>
      <c r="B3">
        <v>1000000</v>
      </c>
    </row>
    <row r="4" spans="1:2" x14ac:dyDescent="0.3">
      <c r="A4" t="s">
        <v>7</v>
      </c>
      <c r="B4">
        <v>120</v>
      </c>
    </row>
    <row r="5" spans="1:2" x14ac:dyDescent="0.3">
      <c r="A5" t="s">
        <v>8</v>
      </c>
      <c r="B5">
        <f>1+(B4/B3)</f>
        <v>1.0001199999999999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Mozart Fraga Martins</dc:creator>
  <cp:lastModifiedBy>Mozart Fraga Martins</cp:lastModifiedBy>
  <dcterms:created xsi:type="dcterms:W3CDTF">2025-05-28T19:40:36Z</dcterms:created>
  <dcterms:modified xsi:type="dcterms:W3CDTF">2025-11-06T00:15:55Z</dcterms:modified>
</cp:coreProperties>
</file>